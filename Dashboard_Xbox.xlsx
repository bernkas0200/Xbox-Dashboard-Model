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ristiano\Downloads\"/>
    </mc:Choice>
  </mc:AlternateContent>
  <xr:revisionPtr revIDLastSave="0" documentId="13_ncr:1_{D142A7DE-D299-449C-A7B9-F03FBA71BE69}" xr6:coauthVersionLast="47" xr6:coauthVersionMax="47" xr10:uidLastSave="{00000000-0000-0000-0000-000000000000}"/>
  <bookViews>
    <workbookView xWindow="-120" yWindow="-120" windowWidth="2064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" l="1"/>
  <c r="E23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<sst xmlns="http://schemas.openxmlformats.org/spreadsheetml/2006/main" count="2017" uniqueCount="319">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</sst>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4" borderId="0" xfId="0" applyFont="1" applyFill="1"/>
    <xf numFmtId="0" fontId="5" fillId="0" borderId="2" xfId="1" applyFont="1" applyBorder="1"/>
    <xf numFmtId="164" fontId="0" fillId="0" borderId="0" xfId="0" applyNumberFormat="1"/>
    <xf numFmtId="0" fontId="6" fillId="0" borderId="0" xfId="0" applyFont="1"/>
    <xf numFmtId="0" fontId="6" fillId="7" borderId="0" xfId="0" applyFont="1" applyFill="1"/>
    <xf numFmtId="0" fontId="0" fillId="0" borderId="2" xfId="0" applyBorder="1"/>
    <xf numFmtId="0" fontId="5" fillId="0" borderId="2" xfId="1" applyFont="1" applyBorder="1" applyAlignment="1">
      <alignment horizontal="left" indent="7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64D17640-5C39-4D92-9A8B-E3090F74A96C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[805d54f9-6d53-4246-bed7-4aa2da615923.xlsx]C̳álculos!tbl_dynamic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4668543716428054E-2"/>
          <c:y val="2.4712913290447593E-2"/>
          <c:w val="0.94014240092756529"/>
          <c:h val="0.893052520743369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82-47B5-8879-3960D2E0E36E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82-47B5-8879-3960D2E0E3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82-47B5-8879-3960D2E0E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0202351"/>
        <c:axId val="800202831"/>
      </c:barChart>
      <c:catAx>
        <c:axId val="80020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0202831"/>
        <c:crosses val="autoZero"/>
        <c:auto val="1"/>
        <c:lblAlgn val="ctr"/>
        <c:lblOffset val="100"/>
        <c:noMultiLvlLbl val="0"/>
      </c:catAx>
      <c:valAx>
        <c:axId val="80020283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020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11905</xdr:colOff>
      <xdr:row>0</xdr:row>
      <xdr:rowOff>0</xdr:rowOff>
    </xdr:from>
    <xdr:to>
      <xdr:col>2</xdr:col>
      <xdr:colOff>583405</xdr:colOff>
      <xdr:row>2</xdr:row>
      <xdr:rowOff>107155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88A266-6F2F-4C04-98F0-3CD79D51A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6" t="11647" r="72362" b="10314"/>
        <a:stretch>
          <a:fillRect/>
        </a:stretch>
      </xdr:blipFill>
      <xdr:spPr>
        <a:xfrm>
          <a:off x="2274093" y="0"/>
          <a:ext cx="571500" cy="797718"/>
        </a:xfrm>
        <a:prstGeom prst="rect">
          <a:avLst/>
        </a:prstGeom>
      </xdr:spPr>
    </xdr:pic>
    <xdr:clientData/>
  </xdr:twoCellAnchor>
  <xdr:twoCellAnchor editAs="absolute">
    <xdr:from>
      <xdr:col>0</xdr:col>
      <xdr:colOff>83344</xdr:colOff>
      <xdr:row>7</xdr:row>
      <xdr:rowOff>159545</xdr:rowOff>
    </xdr:from>
    <xdr:to>
      <xdr:col>0</xdr:col>
      <xdr:colOff>1912144</xdr:colOff>
      <xdr:row>20</xdr:row>
      <xdr:rowOff>123826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203C593-23A6-4516-93AA-01A0F49450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4" y="1528764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47623</xdr:colOff>
      <xdr:row>6</xdr:row>
      <xdr:rowOff>89297</xdr:rowOff>
    </xdr:from>
    <xdr:to>
      <xdr:col>10</xdr:col>
      <xdr:colOff>-1</xdr:colOff>
      <xdr:row>16</xdr:row>
      <xdr:rowOff>47624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44DB315B-360E-4653-2F75-E3B0C74F40B4}"/>
            </a:ext>
          </a:extLst>
        </xdr:cNvPr>
        <xdr:cNvGrpSpPr/>
      </xdr:nvGrpSpPr>
      <xdr:grpSpPr>
        <a:xfrm>
          <a:off x="2309811" y="1339453"/>
          <a:ext cx="4810126" cy="2018109"/>
          <a:chOff x="2309811" y="1041797"/>
          <a:chExt cx="4810126" cy="201810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91CC188-8243-353C-445B-F11A22A19C68}"/>
              </a:ext>
            </a:extLst>
          </xdr:cNvPr>
          <xdr:cNvSpPr/>
        </xdr:nvSpPr>
        <xdr:spPr>
          <a:xfrm>
            <a:off x="2309812" y="1047750"/>
            <a:ext cx="4798219" cy="2012156"/>
          </a:xfrm>
          <a:prstGeom prst="roundRect">
            <a:avLst>
              <a:gd name="adj" fmla="val 542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1AA2471-24E0-490B-B095-4179B6D2621C}"/>
              </a:ext>
            </a:extLst>
          </xdr:cNvPr>
          <xdr:cNvSpPr/>
        </xdr:nvSpPr>
        <xdr:spPr>
          <a:xfrm>
            <a:off x="4107657" y="1502570"/>
            <a:ext cx="2857500" cy="1190625"/>
          </a:xfrm>
          <a:prstGeom prst="roundRect">
            <a:avLst>
              <a:gd name="adj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219CDD3-2B61-462F-943B-60D133D9BC8F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9837711-2AE6-4D1B-95CD-6597A17D01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7469" y="1488282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C40D4EF-E282-C85C-5D56-95CE427C147F}"/>
              </a:ext>
            </a:extLst>
          </xdr:cNvPr>
          <xdr:cNvSpPr/>
        </xdr:nvSpPr>
        <xdr:spPr>
          <a:xfrm>
            <a:off x="2309811" y="1041797"/>
            <a:ext cx="4810126" cy="37504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EA PLAY SEASON PASS SUBSCRIPTIONS</a:t>
            </a:r>
          </a:p>
        </xdr:txBody>
      </xdr:sp>
    </xdr:grpSp>
    <xdr:clientData/>
  </xdr:twoCellAnchor>
  <xdr:twoCellAnchor>
    <xdr:from>
      <xdr:col>11</xdr:col>
      <xdr:colOff>0</xdr:colOff>
      <xdr:row>6</xdr:row>
      <xdr:rowOff>83344</xdr:rowOff>
    </xdr:from>
    <xdr:to>
      <xdr:col>19</xdr:col>
      <xdr:colOff>119063</xdr:colOff>
      <xdr:row>16</xdr:row>
      <xdr:rowOff>53577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15C0AA8-4460-52B4-B3AC-379927EE485C}"/>
            </a:ext>
          </a:extLst>
        </xdr:cNvPr>
        <xdr:cNvGrpSpPr/>
      </xdr:nvGrpSpPr>
      <xdr:grpSpPr>
        <a:xfrm>
          <a:off x="7727156" y="1333500"/>
          <a:ext cx="4810126" cy="2030015"/>
          <a:chOff x="7453312" y="1041798"/>
          <a:chExt cx="4810126" cy="203001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B168AF0D-6BDE-402E-8304-6C395F0C2FD1}"/>
              </a:ext>
            </a:extLst>
          </xdr:cNvPr>
          <xdr:cNvGrpSpPr/>
        </xdr:nvGrpSpPr>
        <xdr:grpSpPr>
          <a:xfrm>
            <a:off x="7453312" y="1041798"/>
            <a:ext cx="4810126" cy="2030015"/>
            <a:chOff x="2309811" y="1029891"/>
            <a:chExt cx="4810126" cy="203001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9FB5630A-9D47-545E-EACD-2663E2481922}"/>
                </a:ext>
              </a:extLst>
            </xdr:cNvPr>
            <xdr:cNvSpPr/>
          </xdr:nvSpPr>
          <xdr:spPr>
            <a:xfrm>
              <a:off x="2309812" y="1047750"/>
              <a:ext cx="4798219" cy="2012156"/>
            </a:xfrm>
            <a:prstGeom prst="roundRect">
              <a:avLst>
                <a:gd name="adj" fmla="val 542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3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F05CD0D6-053B-FC1A-9DF1-F02FA242CCAC}"/>
                </a:ext>
              </a:extLst>
            </xdr:cNvPr>
            <xdr:cNvSpPr/>
          </xdr:nvSpPr>
          <xdr:spPr>
            <a:xfrm>
              <a:off x="4107657" y="1502570"/>
              <a:ext cx="2857500" cy="1190625"/>
            </a:xfrm>
            <a:prstGeom prst="roundRect">
              <a:avLst>
                <a:gd name="adj" fmla="val 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7724AD6-1B37-4BDF-BFF2-A60E0CD8AD5A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302C348B-3019-C4E3-D0A0-6892285C7F78}"/>
                </a:ext>
              </a:extLst>
            </xdr:cNvPr>
            <xdr:cNvSpPr/>
          </xdr:nvSpPr>
          <xdr:spPr>
            <a:xfrm>
              <a:off x="2309811" y="1029891"/>
              <a:ext cx="4810126" cy="38695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MINECRAFT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PLAY SEASON PASS SUBSCRIPTIONS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EF89F3C-E1D2-421C-A7E3-A0010339E2AB}"/>
              </a:ext>
            </a:extLst>
          </xdr:cNvPr>
          <xdr:cNvGrpSpPr/>
        </xdr:nvGrpSpPr>
        <xdr:grpSpPr>
          <a:xfrm>
            <a:off x="7774782" y="1702594"/>
            <a:ext cx="1549476" cy="7524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AD7CBCCC-80A1-A336-8034-778799D4EF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14624EE8-1E10-A210-8F01-81315AA313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23810</xdr:colOff>
      <xdr:row>17</xdr:row>
      <xdr:rowOff>59531</xdr:rowOff>
    </xdr:from>
    <xdr:to>
      <xdr:col>19</xdr:col>
      <xdr:colOff>130968</xdr:colOff>
      <xdr:row>39</xdr:row>
      <xdr:rowOff>11907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160605EB-689B-231C-46D7-91A990F5FE0B}"/>
            </a:ext>
          </a:extLst>
        </xdr:cNvPr>
        <xdr:cNvGrpSpPr/>
      </xdr:nvGrpSpPr>
      <xdr:grpSpPr>
        <a:xfrm>
          <a:off x="2285998" y="3559969"/>
          <a:ext cx="10263189" cy="4143376"/>
          <a:chOff x="2297904" y="3238500"/>
          <a:chExt cx="10263189" cy="420290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7FAE9E1-41C0-F079-BF43-EBD3ACC1867A}"/>
              </a:ext>
            </a:extLst>
          </xdr:cNvPr>
          <xdr:cNvGrpSpPr/>
        </xdr:nvGrpSpPr>
        <xdr:grpSpPr>
          <a:xfrm>
            <a:off x="2297905" y="3238500"/>
            <a:ext cx="10251282" cy="4202907"/>
            <a:chOff x="2250281" y="1035844"/>
            <a:chExt cx="5095875" cy="324586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4477D14-6C67-D9EE-2FF8-A434E7B32FBC}"/>
                </a:ext>
              </a:extLst>
            </xdr:cNvPr>
            <xdr:cNvSpPr/>
          </xdr:nvSpPr>
          <xdr:spPr>
            <a:xfrm>
              <a:off x="2250281" y="1035844"/>
              <a:ext cx="5095875" cy="3036093"/>
            </a:xfrm>
            <a:prstGeom prst="roundRect">
              <a:avLst>
                <a:gd name="adj" fmla="val 137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43A34A9-A9D5-4400-945D-BFC08F96435D}"/>
                </a:ext>
              </a:extLst>
            </xdr:cNvPr>
            <xdr:cNvGraphicFramePr>
              <a:graphicFrameLocks/>
            </xdr:cNvGraphicFramePr>
          </xdr:nvGraphicFramePr>
          <xdr:xfrm>
            <a:off x="2481332" y="1412842"/>
            <a:ext cx="4572000" cy="28688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4A5D0628-DCE5-43F4-AA1D-8BDA77A10490}"/>
              </a:ext>
            </a:extLst>
          </xdr:cNvPr>
          <xdr:cNvSpPr/>
        </xdr:nvSpPr>
        <xdr:spPr>
          <a:xfrm>
            <a:off x="2297904" y="3238500"/>
            <a:ext cx="10263189" cy="37504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GAMEPASS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</a:p>
        </xdr:txBody>
      </xdr:sp>
    </xdr:grpSp>
    <xdr:clientData/>
  </xdr:twoCellAnchor>
  <xdr:twoCellAnchor editAs="absolute">
    <xdr:from>
      <xdr:col>0</xdr:col>
      <xdr:colOff>726281</xdr:colOff>
      <xdr:row>1</xdr:row>
      <xdr:rowOff>95250</xdr:rowOff>
    </xdr:from>
    <xdr:to>
      <xdr:col>0</xdr:col>
      <xdr:colOff>1297782</xdr:colOff>
      <xdr:row>2</xdr:row>
      <xdr:rowOff>171451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5A858214-56A8-42D0-AB25-78B16BAB1EF1}"/>
            </a:ext>
          </a:extLst>
        </xdr:cNvPr>
        <xdr:cNvSpPr/>
      </xdr:nvSpPr>
      <xdr:spPr>
        <a:xfrm>
          <a:off x="726281" y="285750"/>
          <a:ext cx="571501" cy="57626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297656</xdr:colOff>
      <xdr:row>5</xdr:row>
      <xdr:rowOff>59531</xdr:rowOff>
    </xdr:from>
    <xdr:to>
      <xdr:col>0</xdr:col>
      <xdr:colOff>1714500</xdr:colOff>
      <xdr:row>7</xdr:row>
      <xdr:rowOff>23813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904419E0-956C-3275-2ED6-5C8195F28607}"/>
            </a:ext>
          </a:extLst>
        </xdr:cNvPr>
        <xdr:cNvSpPr/>
      </xdr:nvSpPr>
      <xdr:spPr>
        <a:xfrm>
          <a:off x="297656" y="1178719"/>
          <a:ext cx="1416844" cy="21431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BEM-VINDO</a:t>
          </a:r>
        </a:p>
      </xdr:txBody>
    </xdr:sp>
    <xdr:clientData/>
  </xdr:twoCellAnchor>
  <xdr:twoCellAnchor editAs="absolute">
    <xdr:from>
      <xdr:col>1</xdr:col>
      <xdr:colOff>107154</xdr:colOff>
      <xdr:row>3</xdr:row>
      <xdr:rowOff>0</xdr:rowOff>
    </xdr:from>
    <xdr:to>
      <xdr:col>10</xdr:col>
      <xdr:colOff>47624</xdr:colOff>
      <xdr:row>5</xdr:row>
      <xdr:rowOff>119062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FE0704D2-0A4B-413A-AD52-4CFE78DCC8F9}"/>
            </a:ext>
          </a:extLst>
        </xdr:cNvPr>
        <xdr:cNvSpPr/>
      </xdr:nvSpPr>
      <xdr:spPr>
        <a:xfrm>
          <a:off x="2131217" y="916781"/>
          <a:ext cx="5036345" cy="32146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Período</a:t>
          </a:r>
          <a:r>
            <a:rPr lang="pt-BR" sz="1000" b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de apuração: 01/01/2024-31/12/2024 | Update: 25/12/2024</a:t>
          </a:r>
        </a:p>
        <a:p>
          <a:pPr algn="ctr"/>
          <a:endParaRPr lang="pt-BR" sz="1000" b="0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o" refreshedDate="46031.631337615741" createdVersion="8" refreshedVersion="8" minRefreshableVersion="3" recordCount="295" xr:uid="{7875DCDD-8EDD-4E51-A033-CA97C07FC1B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51501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F6F83-A072-48E7-8655-F637C07887A8}" name="tbl_min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398C1-CEE0-4AAF-928A-4B988FB8330C}" name="tbl_e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2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4F2C2-92C2-43E3-932E-4AEF400D61D9}" name="tbl_dynamic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11CEA01-B7B6-4041-8D06-EF56455151E4}" sourceName="Subscription Type">
  <pivotTables>
    <pivotTable tabId="3" name="tbl_dynamic"/>
    <pivotTable tabId="3" name="tbl_ea"/>
    <pivotTable tabId="3" name="tbl_mine"/>
  </pivotTables>
  <data>
    <tabular pivotCacheId="5515019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9EE4361-6D6C-4168-A31A-CF0ECEA226C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32"/>
  <sheetViews>
    <sheetView showGridLines="0" zoomScaleNormal="100" workbookViewId="0">
      <selection activeCell="N32" sqref="N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14" x14ac:dyDescent="0.25">
      <c r="B17" s="2"/>
      <c r="C17" s="2"/>
      <c r="D17" s="2"/>
      <c r="E17" s="2"/>
      <c r="F17" s="2"/>
      <c r="G17" s="2"/>
      <c r="H17" s="2"/>
    </row>
    <row r="18" spans="2:14" x14ac:dyDescent="0.25">
      <c r="B18" s="2"/>
      <c r="C18" s="2"/>
      <c r="D18" s="2"/>
      <c r="E18" s="2"/>
      <c r="F18" s="2"/>
      <c r="G18" s="2"/>
      <c r="H18" s="2"/>
    </row>
    <row r="19" spans="2:14" x14ac:dyDescent="0.25">
      <c r="B19" s="2"/>
      <c r="C19" s="2"/>
      <c r="D19" s="2"/>
      <c r="E19" s="2"/>
      <c r="F19" s="2"/>
      <c r="G19" s="2"/>
      <c r="H19" s="2"/>
    </row>
    <row r="20" spans="2:14" x14ac:dyDescent="0.25">
      <c r="B20" s="2"/>
      <c r="C20" s="2"/>
      <c r="D20" s="2"/>
      <c r="E20" s="2"/>
      <c r="F20" s="2"/>
      <c r="G20" s="2"/>
      <c r="H20" s="2"/>
    </row>
    <row r="21" spans="2:14" x14ac:dyDescent="0.25">
      <c r="B21" s="2"/>
      <c r="C21" s="2"/>
      <c r="D21" s="2"/>
      <c r="E21" s="2"/>
      <c r="F21" s="2"/>
      <c r="G21" s="2"/>
      <c r="H21" s="2"/>
    </row>
    <row r="32" spans="2:14" x14ac:dyDescent="0.25">
      <c r="N32" s="18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303"/>
  <sheetViews>
    <sheetView topLeftCell="A253" zoomScale="90" zoomScaleNormal="90" workbookViewId="0">
      <selection activeCell="H298" sqref="H29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303" spans="1:13" x14ac:dyDescent="0.25">
      <c r="H303" s="18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25"/>
  <sheetViews>
    <sheetView showGridLines="0" topLeftCell="A9" workbookViewId="0">
      <selection activeCell="B17" sqref="B1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2" t="s">
        <v>16</v>
      </c>
      <c r="C2" t="s">
        <v>27</v>
      </c>
    </row>
    <row r="4" spans="2:5" x14ac:dyDescent="0.25">
      <c r="B4" s="12" t="s">
        <v>313</v>
      </c>
      <c r="C4" t="s">
        <v>315</v>
      </c>
    </row>
    <row r="5" spans="2:5" x14ac:dyDescent="0.25">
      <c r="B5" s="13" t="s">
        <v>23</v>
      </c>
      <c r="C5" s="14">
        <v>806</v>
      </c>
    </row>
    <row r="6" spans="2:5" x14ac:dyDescent="0.25">
      <c r="B6" s="13" t="s">
        <v>19</v>
      </c>
      <c r="C6" s="14">
        <v>1502</v>
      </c>
    </row>
    <row r="7" spans="2:5" x14ac:dyDescent="0.25">
      <c r="B7" s="13" t="s">
        <v>314</v>
      </c>
      <c r="C7" s="14">
        <v>2308</v>
      </c>
    </row>
    <row r="10" spans="2:5" x14ac:dyDescent="0.25">
      <c r="B10" s="12" t="s">
        <v>16</v>
      </c>
      <c r="C10" t="s">
        <v>27</v>
      </c>
    </row>
    <row r="12" spans="2:5" x14ac:dyDescent="0.25">
      <c r="B12" s="12" t="s">
        <v>313</v>
      </c>
      <c r="C12" t="s">
        <v>317</v>
      </c>
    </row>
    <row r="13" spans="2:5" x14ac:dyDescent="0.25">
      <c r="B13" s="13" t="s">
        <v>22</v>
      </c>
      <c r="C13" s="22">
        <v>0</v>
      </c>
    </row>
    <row r="14" spans="2:5" x14ac:dyDescent="0.25">
      <c r="B14" s="13" t="s">
        <v>26</v>
      </c>
      <c r="C14" s="22">
        <v>0</v>
      </c>
    </row>
    <row r="15" spans="2:5" x14ac:dyDescent="0.25">
      <c r="B15" s="13" t="s">
        <v>18</v>
      </c>
      <c r="C15" s="22">
        <v>990</v>
      </c>
    </row>
    <row r="16" spans="2:5" x14ac:dyDescent="0.25">
      <c r="B16" s="13" t="s">
        <v>314</v>
      </c>
      <c r="C16" s="22">
        <v>990</v>
      </c>
      <c r="E16" s="17">
        <f>GETPIVOTDATA("EA Play Season Pass
Price",$B$12)</f>
        <v>990</v>
      </c>
    </row>
    <row r="17" spans="2:5" x14ac:dyDescent="0.25">
      <c r="B17" s="12" t="s">
        <v>16</v>
      </c>
      <c r="C17" t="s">
        <v>27</v>
      </c>
    </row>
    <row r="19" spans="2:5" x14ac:dyDescent="0.25">
      <c r="B19" s="12" t="s">
        <v>313</v>
      </c>
      <c r="C19" t="s">
        <v>318</v>
      </c>
    </row>
    <row r="20" spans="2:5" x14ac:dyDescent="0.25">
      <c r="B20" s="13" t="s">
        <v>22</v>
      </c>
      <c r="C20" s="14">
        <v>0</v>
      </c>
    </row>
    <row r="21" spans="2:5" x14ac:dyDescent="0.25">
      <c r="B21" s="13" t="s">
        <v>26</v>
      </c>
      <c r="C21" s="14">
        <v>480</v>
      </c>
    </row>
    <row r="22" spans="2:5" x14ac:dyDescent="0.25">
      <c r="B22" s="13" t="s">
        <v>18</v>
      </c>
      <c r="C22" s="14">
        <v>660</v>
      </c>
    </row>
    <row r="23" spans="2:5" x14ac:dyDescent="0.25">
      <c r="B23" s="13" t="s">
        <v>314</v>
      </c>
      <c r="C23" s="14">
        <v>1140</v>
      </c>
      <c r="E23" s="17">
        <f>GETPIVOTDATA("Minecraft Season Pass Price",$B$19)</f>
        <v>1140</v>
      </c>
    </row>
    <row r="25" spans="2:5" x14ac:dyDescent="0.25">
      <c r="E25" s="18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14"/>
  <sheetViews>
    <sheetView showGridLines="0" showRowColHeaders="0" tabSelected="1" zoomScale="80" zoomScaleNormal="80" workbookViewId="0">
      <selection activeCell="A4" sqref="A4"/>
    </sheetView>
  </sheetViews>
  <sheetFormatPr defaultRowHeight="15" x14ac:dyDescent="0.25"/>
  <cols>
    <col min="1" max="1" width="30.28515625" style="15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23" customFormat="1" x14ac:dyDescent="0.25">
      <c r="A1" s="15"/>
    </row>
    <row r="2" spans="1:23" customFormat="1" ht="39" customHeight="1" thickBot="1" x14ac:dyDescent="0.5">
      <c r="A2" s="15"/>
      <c r="C2" s="21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20"/>
      <c r="N2" s="20"/>
      <c r="O2" s="20"/>
      <c r="P2" s="20"/>
      <c r="Q2" s="20"/>
      <c r="R2" s="20"/>
      <c r="S2" s="20"/>
    </row>
    <row r="3" spans="1:23" customFormat="1" ht="18" customHeight="1" thickTop="1" x14ac:dyDescent="0.25">
      <c r="A3" s="15"/>
    </row>
    <row r="4" spans="1:23" ht="8.25" customHeight="1" x14ac:dyDescent="0.25"/>
    <row r="5" spans="1:23" ht="7.5" customHeight="1" x14ac:dyDescent="0.25"/>
    <row r="6" spans="1:23" ht="10.5" customHeight="1" x14ac:dyDescent="0.25"/>
    <row r="7" spans="1:23" ht="9.75" customHeight="1" x14ac:dyDescent="0.25"/>
    <row r="8" spans="1:23" ht="33" customHeight="1" x14ac:dyDescent="0.25"/>
    <row r="13" spans="1:23" x14ac:dyDescent="0.25">
      <c r="W13" s="19"/>
    </row>
    <row r="14" spans="1:23" x14ac:dyDescent="0.25">
      <c r="N14" s="19"/>
      <c r="V14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Cristiano Alves Carvalho</cp:lastModifiedBy>
  <dcterms:created xsi:type="dcterms:W3CDTF">2024-12-19T13:13:10Z</dcterms:created>
  <dcterms:modified xsi:type="dcterms:W3CDTF">2026-01-09T19:52:16Z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